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 projects\rpc16_input_files\excel_reports\"/>
    </mc:Choice>
  </mc:AlternateContent>
  <xr:revisionPtr revIDLastSave="0" documentId="13_ncr:1_{47A03B41-574E-4D2F-9CF0-30301D320CA4}" xr6:coauthVersionLast="47" xr6:coauthVersionMax="47" xr10:uidLastSave="{00000000-0000-0000-0000-000000000000}"/>
  <bookViews>
    <workbookView xWindow="-108" yWindow="-108" windowWidth="23256" windowHeight="13176" xr2:uid="{44117FE2-D6DE-4E0E-9F07-3B8B9D6F6C47}"/>
  </bookViews>
  <sheets>
    <sheet name="croma_monthly_gross_sales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<sst xmlns="http://schemas.openxmlformats.org/spreadsheetml/2006/main" count="24" uniqueCount="24">
  <si>
    <t>date</t>
  </si>
  <si>
    <t>total_gross_sales</t>
  </si>
  <si>
    <t xml:space="preserve">Croma Monthly Sales </t>
  </si>
  <si>
    <t>Row Labels</t>
  </si>
  <si>
    <t>Grand Total</t>
  </si>
  <si>
    <t>Sum of total_gross_sales</t>
  </si>
  <si>
    <t>Sep</t>
  </si>
  <si>
    <t>Oct</t>
  </si>
  <si>
    <t>Dec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</si>
  <si>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MySQL | Generated via SQL</t>
    </r>
  </si>
  <si>
    <r>
      <rPr>
        <b/>
        <sz val="11"/>
        <color theme="1"/>
        <rFont val="Calibri"/>
        <family val="2"/>
        <scheme val="minor"/>
      </rPr>
      <t>Metric:</t>
    </r>
    <r>
      <rPr>
        <sz val="11"/>
        <color theme="1"/>
        <rFont val="Calibri"/>
        <family val="2"/>
        <scheme val="minor"/>
      </rPr>
      <t xml:space="preserve"> Net Sales (INR Millions)</t>
    </r>
  </si>
  <si>
    <t>Jan</t>
  </si>
  <si>
    <t>Feb</t>
  </si>
  <si>
    <t>Apr</t>
  </si>
  <si>
    <t>May</t>
  </si>
  <si>
    <t>Jun</t>
  </si>
  <si>
    <t>Aug</t>
  </si>
  <si>
    <t>MoM Sales for Croma</t>
  </si>
  <si>
    <t>Key Insights</t>
  </si>
  <si>
    <t>- Early months (Jan–Jun) show weak and stagnant performance</t>
  </si>
  <si>
    <t>- Sharp sales acceleration begins post-August, indicating festive demand</t>
  </si>
  <si>
    <t>- Revenue is time-concentrated, creating dependency on a few high-performing months</t>
  </si>
  <si>
    <r>
      <t xml:space="preserve">- Sales are highly seasonal, with </t>
    </r>
    <r>
      <rPr>
        <b/>
        <sz val="11"/>
        <color theme="1"/>
        <rFont val="Calibri"/>
        <family val="2"/>
        <scheme val="minor"/>
      </rPr>
      <t>~75%</t>
    </r>
    <r>
      <rPr>
        <sz val="11"/>
        <color theme="1"/>
        <rFont val="Calibri"/>
        <family val="2"/>
        <scheme val="minor"/>
      </rPr>
      <t xml:space="preserve"> revenue generated between</t>
    </r>
    <r>
      <rPr>
        <b/>
        <sz val="11"/>
        <color theme="1"/>
        <rFont val="Calibri"/>
        <family val="2"/>
        <scheme val="minor"/>
      </rPr>
      <t xml:space="preserve"> Sep–Dec</t>
    </r>
  </si>
  <si>
    <r>
      <t xml:space="preserve">- </t>
    </r>
    <r>
      <rPr>
        <b/>
        <sz val="11"/>
        <color theme="1"/>
        <rFont val="Calibri"/>
        <family val="2"/>
        <scheme val="minor"/>
      </rPr>
      <t>December</t>
    </r>
    <r>
      <rPr>
        <sz val="11"/>
        <color theme="1"/>
        <rFont val="Calibri"/>
        <family val="2"/>
        <scheme val="minor"/>
      </rPr>
      <t xml:space="preserve"> is the peak month, contributing </t>
    </r>
    <r>
      <rPr>
        <b/>
        <sz val="11"/>
        <color theme="1"/>
        <rFont val="Calibri"/>
        <family val="2"/>
        <scheme val="minor"/>
      </rPr>
      <t>~33%</t>
    </r>
    <r>
      <rPr>
        <sz val="11"/>
        <color theme="1"/>
        <rFont val="Calibri"/>
        <family val="2"/>
        <scheme val="minor"/>
      </rPr>
      <t xml:space="preserve"> of total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</si>
</sst>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44" fontId="0" fillId="0" borderId="14" xfId="42" applyFont="1" applyBorder="1" applyAlignment="1">
      <alignment horizontal="center" vertical="center"/>
    </xf>
    <xf numFmtId="44" fontId="0" fillId="0" borderId="16" xfId="42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0" fillId="0" borderId="22" xfId="0" pivotButton="1" applyBorder="1"/>
    <xf numFmtId="0" fontId="0" fillId="0" borderId="22" xfId="0" applyBorder="1" applyAlignment="1">
      <alignment horizontal="left"/>
    </xf>
    <xf numFmtId="44" fontId="0" fillId="0" borderId="23" xfId="0" applyNumberFormat="1" applyBorder="1"/>
    <xf numFmtId="44" fontId="0" fillId="0" borderId="21" xfId="0" applyNumberFormat="1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36" borderId="17" xfId="0" applyFill="1" applyBorder="1"/>
    <xf numFmtId="0" fontId="0" fillId="36" borderId="18" xfId="0" applyFill="1" applyBorder="1"/>
    <xf numFmtId="0" fontId="0" fillId="36" borderId="19" xfId="0" applyFill="1" applyBorder="1"/>
    <xf numFmtId="0" fontId="0" fillId="36" borderId="20" xfId="0" applyFill="1" applyBorder="1"/>
    <xf numFmtId="0" fontId="16" fillId="37" borderId="17" xfId="0" applyFont="1" applyFill="1" applyBorder="1"/>
    <xf numFmtId="0" fontId="16" fillId="37" borderId="24" xfId="0" applyFont="1" applyFill="1" applyBorder="1"/>
    <xf numFmtId="0" fontId="0" fillId="37" borderId="18" xfId="0" applyFill="1" applyBorder="1"/>
    <xf numFmtId="0" fontId="0" fillId="37" borderId="26" xfId="0" quotePrefix="1" applyFill="1" applyBorder="1" applyAlignment="1">
      <alignment horizontal="left" vertical="center"/>
    </xf>
    <xf numFmtId="0" fontId="0" fillId="37" borderId="19" xfId="0" quotePrefix="1" applyFill="1" applyBorder="1" applyAlignment="1">
      <alignment horizontal="left" vertical="center"/>
    </xf>
    <xf numFmtId="0" fontId="0" fillId="37" borderId="0" xfId="0" applyFill="1" applyBorder="1" applyAlignment="1">
      <alignment horizontal="left" vertical="center"/>
    </xf>
    <xf numFmtId="0" fontId="0" fillId="37" borderId="0" xfId="0" applyFill="1" applyBorder="1"/>
    <xf numFmtId="0" fontId="0" fillId="37" borderId="27" xfId="0" applyFill="1" applyBorder="1"/>
    <xf numFmtId="0" fontId="0" fillId="37" borderId="25" xfId="0" applyFill="1" applyBorder="1"/>
    <xf numFmtId="0" fontId="0" fillId="37" borderId="20" xfId="0" applyFill="1" applyBorder="1"/>
    <xf numFmtId="0" fontId="0" fillId="37" borderId="24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6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[croma_monthly_gross_sales.xlsx]croma_monthly_gross_sales!PivotTable1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Croma Monthly</a:t>
            </a:r>
            <a:r>
              <a:rPr lang="en-US" baseline="0"/>
              <a:t> Gross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croma_monthly_gross_sales!$I$8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croma_monthly_gross_sales!$H$9:$H$18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Dec</c:v>
                </c:pt>
              </c:strCache>
            </c:strRef>
          </c:cat>
          <c:val>
            <c:numRef>
              <c:f>croma_monthly_gross_sales!$I$9:$I$18</c:f>
              <c:numCache>
                <c:formatCode>_("₹"* #,##0.00_);_("₹"* \(#,##0.00\);_("₹"* "-"??_);_(@_)</c:formatCode>
                <c:ptCount val="9"/>
                <c:pt idx="0">
                  <c:v>3602615.8753999998</c:v>
                </c:pt>
                <c:pt idx="1">
                  <c:v>3719339.9101999998</c:v>
                </c:pt>
                <c:pt idx="2">
                  <c:v>2894289.4160000002</c:v>
                </c:pt>
                <c:pt idx="3">
                  <c:v>2805954.1691999999</c:v>
                </c:pt>
                <c:pt idx="4">
                  <c:v>3120660.0052999998</c:v>
                </c:pt>
                <c:pt idx="5">
                  <c:v>3612325.2138999999</c:v>
                </c:pt>
                <c:pt idx="6">
                  <c:v>14763737.8717</c:v>
                </c:pt>
                <c:pt idx="7">
                  <c:v>18713418.012400001</c:v>
                </c:pt>
                <c:pt idx="8">
                  <c:v>26003729.046700001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9-4722-AD63-FF831A502A0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376511"/>
        <c:axId val="515372671"/>
      </c:lineChart>
      <c:catAx>
        <c:axId val="51537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2671"/>
        <c:crosses val="autoZero"/>
        <c:auto val="1"/>
        <c:lblAlgn val="ctr"/>
        <c:lblOffset val="100"/>
        <c:noMultiLvlLbl val="0"/>
      </c:catAx>
      <c:valAx>
        <c:axId val="515372671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765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6</xdr:row>
      <xdr:rowOff>3810</xdr:rowOff>
    </xdr:from>
    <xdr:to>
      <xdr:col>18</xdr:col>
      <xdr:colOff>312420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457301-57CA-2154-15F1-0F78B4D8E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10</xdr:row>
      <xdr:rowOff>95250</xdr:rowOff>
    </xdr:from>
    <xdr:to>
      <xdr:col>10</xdr:col>
      <xdr:colOff>276225</xdr:colOff>
      <xdr:row>12</xdr:row>
      <xdr:rowOff>85725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0B354EA-C146-2591-7DCB-981447F2A45B}"/>
            </a:ext>
          </a:extLst>
        </xdr:cNvPr>
        <xdr:cNvSpPr/>
      </xdr:nvSpPr>
      <xdr:spPr>
        <a:xfrm>
          <a:off x="8648700" y="1981200"/>
          <a:ext cx="504825" cy="3524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nsh Singh" refreshedDate="46027.044329050928" createdVersion="8" refreshedVersion="8" minRefreshableVersion="3" recordCount="39" xr:uid="{D6B731E3-9A02-496C-8169-70B5715C8CE3}">
  <cacheSource type="worksheet">
    <worksheetSource ref="D5:E44" sheet="croma_monthly_gross_sales"/>
  </cacheSource>
  <cacheFields count="5">
    <cacheField name="date" numFmtId="14">
      <sharedItems containsSemiMixedTypes="0" containsNonDate="0" containsDate="1" containsString="0" minDate="2017-09-01T00:00:00" maxDate="2021-12-02T00:00:00" count="39">
        <d v="2017-09-01T00:00:00"/>
        <d v="2017-10-01T00:00:00"/>
        <d v="2017-12-01T00:00:00"/>
        <d v="2018-01-01T00:00:00"/>
        <d v="2018-02-01T00:00:00"/>
        <d v="2018-04-01T00:00:00"/>
        <d v="2018-05-01T00:00:00"/>
        <d v="2018-06-01T00:00:00"/>
        <d v="2018-08-01T00:00:00"/>
        <d v="2018-09-01T00:00:00"/>
        <d v="2018-10-01T00:00:00"/>
        <d v="2018-12-01T00:00:00"/>
        <d v="2019-01-01T00:00:00"/>
        <d v="2019-02-01T00:00:00"/>
        <d v="2019-04-01T00:00:00"/>
        <d v="2019-05-01T00:00:00"/>
        <d v="2019-06-01T00:00:00"/>
        <d v="2019-08-01T00:00:00"/>
        <d v="2019-09-01T00:00:00"/>
        <d v="2019-10-01T00:00:00"/>
        <d v="2019-12-01T00:00:00"/>
        <d v="2020-01-01T00:00:00"/>
        <d v="2020-02-01T00:00:00"/>
        <d v="2020-04-01T00:00:00"/>
        <d v="2020-05-01T00:00:00"/>
        <d v="2020-06-01T00:00:00"/>
        <d v="2020-08-01T00:00:00"/>
        <d v="2020-09-01T00:00:00"/>
        <d v="2020-10-01T00:00:00"/>
        <d v="2020-12-01T00:00:00"/>
        <d v="2021-01-01T00:00:00"/>
        <d v="2021-02-01T00:00:00"/>
        <d v="2021-04-01T00:00:00"/>
        <d v="2021-05-01T00:00:00"/>
        <d v="2021-06-01T00:00:00"/>
        <d v="2021-08-01T00:00:00"/>
        <d v="2021-09-01T00:00:00"/>
        <d v="2021-10-01T00:00:00"/>
        <d v="2021-12-01T00:00:00"/>
      </sharedItems>
      <fieldGroup par="4"/>
    </cacheField>
    <cacheField name="total_gross_sales" numFmtId="44">
      <sharedItems containsSemiMixedTypes="0" containsString="0" containsNumber="1" minValue="122407.5582" maxValue="19537146.559900001"/>
    </cacheField>
    <cacheField name="Months (date)" numFmtId="0" databaseField="0">
      <fieldGroup base="0">
        <rangePr groupBy="months" startDate="2017-09-01T00:00:00" endDate="2021-12-02T00:00:00"/>
        <groupItems count="14">
          <s v="&lt;01-09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1"/>
        </groupItems>
      </fieldGroup>
    </cacheField>
    <cacheField name="Quarters (date)" numFmtId="0" databaseField="0">
      <fieldGroup base="0">
        <rangePr groupBy="quarters" startDate="2017-09-01T00:00:00" endDate="2021-12-02T00:00:00"/>
        <groupItems count="6">
          <s v="&lt;01-09-2017"/>
          <s v="Qtr1"/>
          <s v="Qtr2"/>
          <s v="Qtr3"/>
          <s v="Qtr4"/>
          <s v="&gt;02-12-2021"/>
        </groupItems>
      </fieldGroup>
    </cacheField>
    <cacheField name="Years (date)" numFmtId="0" databaseField="0">
      <fieldGroup base="0">
        <rangePr groupBy="years" startDate="2017-09-01T00:00:00" endDate="2021-12-02T00:00:00"/>
        <groupItems count="7">
          <s v="&lt;01-09-2017"/>
          <s v="2017"/>
          <s v="2018"/>
          <s v="2019"/>
          <s v="2020"/>
          <s v="2021"/>
          <s v="&gt;02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122407.5582"/>
  </r>
  <r>
    <x v="1"/>
    <n v="162687.5716"/>
  </r>
  <r>
    <x v="2"/>
    <n v="245673.80420000001"/>
  </r>
  <r>
    <x v="3"/>
    <n v="127574.7372"/>
  </r>
  <r>
    <x v="4"/>
    <n v="144799.51819999999"/>
  </r>
  <r>
    <x v="5"/>
    <n v="130643.8976"/>
  </r>
  <r>
    <x v="6"/>
    <n v="139165.0975"/>
  </r>
  <r>
    <x v="7"/>
    <n v="125735.3786"/>
  </r>
  <r>
    <x v="8"/>
    <n v="125409.88009999999"/>
  </r>
  <r>
    <x v="9"/>
    <n v="343337.16509999998"/>
  </r>
  <r>
    <x v="10"/>
    <n v="440562.07539999997"/>
  </r>
  <r>
    <x v="11"/>
    <n v="653944.74860000005"/>
  </r>
  <r>
    <x v="12"/>
    <n v="359025.01860000001"/>
  </r>
  <r>
    <x v="13"/>
    <n v="356607.17290000001"/>
  </r>
  <r>
    <x v="14"/>
    <n v="379549.685"/>
  </r>
  <r>
    <x v="15"/>
    <n v="340152.23489999998"/>
  </r>
  <r>
    <x v="16"/>
    <n v="343792.04200000002"/>
  </r>
  <r>
    <x v="17"/>
    <n v="338108.8774"/>
  </r>
  <r>
    <x v="18"/>
    <n v="808250.44059999997"/>
  </r>
  <r>
    <x v="19"/>
    <n v="1092622.1983"/>
  </r>
  <r>
    <x v="20"/>
    <n v="1488174.0157999999"/>
  </r>
  <r>
    <x v="21"/>
    <n v="812929.74970000004"/>
  </r>
  <r>
    <x v="22"/>
    <n v="862762.76560000004"/>
  </r>
  <r>
    <x v="23"/>
    <n v="130520.9209"/>
  </r>
  <r>
    <x v="24"/>
    <n v="145049.05249999999"/>
  </r>
  <r>
    <x v="25"/>
    <n v="362545.13640000002"/>
  </r>
  <r>
    <x v="26"/>
    <n v="799327.63450000004"/>
  </r>
  <r>
    <x v="27"/>
    <n v="2296919.6327"/>
  </r>
  <r>
    <x v="28"/>
    <n v="3109316.8802"/>
  </r>
  <r>
    <x v="29"/>
    <n v="4078789.9182000002"/>
  </r>
  <r>
    <x v="30"/>
    <n v="2303086.3698999998"/>
  </r>
  <r>
    <x v="31"/>
    <n v="2355170.4534999998"/>
  </r>
  <r>
    <x v="32"/>
    <n v="2253574.9125000001"/>
  </r>
  <r>
    <x v="33"/>
    <n v="2181587.7842999999"/>
  </r>
  <r>
    <x v="34"/>
    <n v="2288587.4482999998"/>
  </r>
  <r>
    <x v="35"/>
    <n v="2349478.8218999999"/>
  </r>
  <r>
    <x v="36"/>
    <n v="11192823.075099999"/>
  </r>
  <r>
    <x v="37"/>
    <n v="13908229.286900001"/>
  </r>
  <r>
    <x v="38"/>
    <n v="19537146.5599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B854E-151B-423A-9729-AA2AD41C8F9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8:I18" firstHeaderRow="1" firstDataRow="1" firstDataCol="1"/>
  <pivotFields count="5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2"/>
  </rowFields>
  <rowItems count="10">
    <i>
      <x v="1"/>
    </i>
    <i>
      <x v="2"/>
    </i>
    <i>
      <x v="4"/>
    </i>
    <i>
      <x v="5"/>
    </i>
    <i>
      <x v="6"/>
    </i>
    <i>
      <x v="8"/>
    </i>
    <i>
      <x v="9"/>
    </i>
    <i>
      <x v="10"/>
    </i>
    <i>
      <x v="12"/>
    </i>
    <i t="grand">
      <x/>
    </i>
  </rowItems>
  <colItems count="1">
    <i/>
  </colItems>
  <dataFields count="1">
    <dataField name="Sum of total_gross_sales" fld="1" baseField="0" baseItem="0" numFmtId="44"/>
  </dataFields>
  <formats count="5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4" type="button" dataOnly="0" labelOnly="1" outline="0"/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4553-A292-4454-8BBD-7B91E21B4A09}">
  <dimension ref="D1:N44"/>
  <sheetViews>
    <sheetView tabSelected="1" topLeftCell="B1" zoomScale="80" workbookViewId="0">
      <selection activeCell="H31" sqref="H31"/>
    </sheetView>
  </sheetViews>
  <sheetFormatPr defaultRowHeight="14.4" x14ac:dyDescent="0.3"/>
  <cols>
    <col min="4" max="5" width="20.77734375" customWidth="1"/>
    <col min="8" max="8" width="12.5546875" bestFit="1" customWidth="1"/>
    <col min="9" max="9" width="22" customWidth="1"/>
  </cols>
  <sheetData>
    <row r="1" spans="4:9" ht="15" thickBot="1" x14ac:dyDescent="0.35"/>
    <row r="2" spans="4:9" x14ac:dyDescent="0.3">
      <c r="D2" s="5" t="s">
        <v>2</v>
      </c>
      <c r="E2" s="6"/>
      <c r="H2" s="18" t="s">
        <v>9</v>
      </c>
      <c r="I2" s="19"/>
    </row>
    <row r="3" spans="4:9" ht="15" thickBot="1" x14ac:dyDescent="0.35">
      <c r="D3" s="7"/>
      <c r="E3" s="8"/>
      <c r="H3" s="20" t="s">
        <v>10</v>
      </c>
      <c r="I3" s="21"/>
    </row>
    <row r="4" spans="4:9" ht="15" thickBot="1" x14ac:dyDescent="0.35"/>
    <row r="5" spans="4:9" x14ac:dyDescent="0.3">
      <c r="D5" s="1" t="s">
        <v>0</v>
      </c>
      <c r="E5" s="2" t="s">
        <v>1</v>
      </c>
    </row>
    <row r="6" spans="4:9" x14ac:dyDescent="0.3">
      <c r="D6" s="3">
        <v>42979</v>
      </c>
      <c r="E6" s="9">
        <v>122407.5582</v>
      </c>
    </row>
    <row r="7" spans="4:9" ht="18" x14ac:dyDescent="0.3">
      <c r="D7" s="3">
        <v>43009</v>
      </c>
      <c r="E7" s="9">
        <v>162687.5716</v>
      </c>
      <c r="H7" s="11" t="s">
        <v>17</v>
      </c>
      <c r="I7" s="11"/>
    </row>
    <row r="8" spans="4:9" x14ac:dyDescent="0.3">
      <c r="D8" s="3">
        <v>43070</v>
      </c>
      <c r="E8" s="9">
        <v>245673.80420000001</v>
      </c>
      <c r="H8" s="12" t="s">
        <v>3</v>
      </c>
      <c r="I8" s="17" t="s">
        <v>5</v>
      </c>
    </row>
    <row r="9" spans="4:9" x14ac:dyDescent="0.3">
      <c r="D9" s="3">
        <v>43101</v>
      </c>
      <c r="E9" s="9">
        <v>127574.7372</v>
      </c>
      <c r="H9" s="13" t="s">
        <v>11</v>
      </c>
      <c r="I9" s="14">
        <v>3602615.8753999998</v>
      </c>
    </row>
    <row r="10" spans="4:9" x14ac:dyDescent="0.3">
      <c r="D10" s="3">
        <v>43132</v>
      </c>
      <c r="E10" s="9">
        <v>144799.51819999999</v>
      </c>
      <c r="H10" s="13" t="s">
        <v>12</v>
      </c>
      <c r="I10" s="14">
        <v>3719339.9101999998</v>
      </c>
    </row>
    <row r="11" spans="4:9" x14ac:dyDescent="0.3">
      <c r="D11" s="3">
        <v>43191</v>
      </c>
      <c r="E11" s="9">
        <v>130643.8976</v>
      </c>
      <c r="H11" s="13" t="s">
        <v>13</v>
      </c>
      <c r="I11" s="14">
        <v>2894289.4160000002</v>
      </c>
    </row>
    <row r="12" spans="4:9" x14ac:dyDescent="0.3">
      <c r="D12" s="3">
        <v>43221</v>
      </c>
      <c r="E12" s="9">
        <v>139165.0975</v>
      </c>
      <c r="H12" s="13" t="s">
        <v>14</v>
      </c>
      <c r="I12" s="14">
        <v>2805954.1691999999</v>
      </c>
    </row>
    <row r="13" spans="4:9" x14ac:dyDescent="0.3">
      <c r="D13" s="3">
        <v>43252</v>
      </c>
      <c r="E13" s="9">
        <v>125735.3786</v>
      </c>
      <c r="H13" s="13" t="s">
        <v>15</v>
      </c>
      <c r="I13" s="14">
        <v>3120660.0052999998</v>
      </c>
    </row>
    <row r="14" spans="4:9" x14ac:dyDescent="0.3">
      <c r="D14" s="3">
        <v>43313</v>
      </c>
      <c r="E14" s="9">
        <v>125409.88009999999</v>
      </c>
      <c r="H14" s="13" t="s">
        <v>16</v>
      </c>
      <c r="I14" s="14">
        <v>3612325.2138999999</v>
      </c>
    </row>
    <row r="15" spans="4:9" x14ac:dyDescent="0.3">
      <c r="D15" s="3">
        <v>43344</v>
      </c>
      <c r="E15" s="9">
        <v>343337.16509999998</v>
      </c>
      <c r="H15" s="13" t="s">
        <v>6</v>
      </c>
      <c r="I15" s="14">
        <v>14763737.8717</v>
      </c>
    </row>
    <row r="16" spans="4:9" x14ac:dyDescent="0.3">
      <c r="D16" s="3">
        <v>43374</v>
      </c>
      <c r="E16" s="9">
        <v>440562.07539999997</v>
      </c>
      <c r="H16" s="13" t="s">
        <v>7</v>
      </c>
      <c r="I16" s="14">
        <v>18713418.012400001</v>
      </c>
    </row>
    <row r="17" spans="4:14" x14ac:dyDescent="0.3">
      <c r="D17" s="3">
        <v>43435</v>
      </c>
      <c r="E17" s="9">
        <v>653944.74860000005</v>
      </c>
      <c r="H17" s="13" t="s">
        <v>8</v>
      </c>
      <c r="I17" s="14">
        <v>26003729.046700001</v>
      </c>
    </row>
    <row r="18" spans="4:14" x14ac:dyDescent="0.3">
      <c r="D18" s="3">
        <v>43466</v>
      </c>
      <c r="E18" s="9">
        <v>359025.01860000001</v>
      </c>
      <c r="H18" s="16" t="s">
        <v>4</v>
      </c>
      <c r="I18" s="15">
        <v>79236069.520799994</v>
      </c>
    </row>
    <row r="19" spans="4:14" x14ac:dyDescent="0.3">
      <c r="D19" s="3">
        <v>43497</v>
      </c>
      <c r="E19" s="9">
        <v>356607.17290000001</v>
      </c>
    </row>
    <row r="20" spans="4:14" x14ac:dyDescent="0.3">
      <c r="D20" s="3">
        <v>43556</v>
      </c>
      <c r="E20" s="9">
        <v>379549.685</v>
      </c>
    </row>
    <row r="21" spans="4:14" x14ac:dyDescent="0.3">
      <c r="D21" s="3">
        <v>43586</v>
      </c>
      <c r="E21" s="9">
        <v>340152.23489999998</v>
      </c>
    </row>
    <row r="22" spans="4:14" ht="15" thickBot="1" x14ac:dyDescent="0.35">
      <c r="D22" s="3">
        <v>43617</v>
      </c>
      <c r="E22" s="9">
        <v>343792.04200000002</v>
      </c>
    </row>
    <row r="23" spans="4:14" x14ac:dyDescent="0.3">
      <c r="D23" s="3">
        <v>43678</v>
      </c>
      <c r="E23" s="9">
        <v>338108.8774</v>
      </c>
      <c r="H23" s="22" t="s">
        <v>18</v>
      </c>
      <c r="I23" s="23"/>
      <c r="J23" s="23"/>
      <c r="K23" s="23"/>
      <c r="L23" s="23"/>
      <c r="M23" s="32"/>
      <c r="N23" s="24"/>
    </row>
    <row r="24" spans="4:14" x14ac:dyDescent="0.3">
      <c r="D24" s="3">
        <v>43709</v>
      </c>
      <c r="E24" s="9">
        <v>808250.44059999997</v>
      </c>
      <c r="H24" s="25" t="s">
        <v>22</v>
      </c>
      <c r="I24" s="27"/>
      <c r="J24" s="27"/>
      <c r="K24" s="27"/>
      <c r="L24" s="27"/>
      <c r="M24" s="27"/>
      <c r="N24" s="29"/>
    </row>
    <row r="25" spans="4:14" x14ac:dyDescent="0.3">
      <c r="D25" s="3">
        <v>43739</v>
      </c>
      <c r="E25" s="9">
        <v>1092622.1983</v>
      </c>
      <c r="H25" s="25" t="s">
        <v>23</v>
      </c>
      <c r="I25" s="27"/>
      <c r="J25" s="27"/>
      <c r="K25" s="27"/>
      <c r="L25" s="27"/>
      <c r="M25" s="27"/>
      <c r="N25" s="29"/>
    </row>
    <row r="26" spans="4:14" x14ac:dyDescent="0.3">
      <c r="D26" s="3">
        <v>43800</v>
      </c>
      <c r="E26" s="9">
        <v>1488174.0157999999</v>
      </c>
      <c r="H26" s="25" t="s">
        <v>19</v>
      </c>
      <c r="I26" s="27"/>
      <c r="J26" s="27"/>
      <c r="K26" s="27"/>
      <c r="L26" s="27"/>
      <c r="M26" s="27"/>
      <c r="N26" s="29"/>
    </row>
    <row r="27" spans="4:14" x14ac:dyDescent="0.3">
      <c r="D27" s="3">
        <v>43831</v>
      </c>
      <c r="E27" s="9">
        <v>812929.74970000004</v>
      </c>
      <c r="H27" s="25" t="s">
        <v>20</v>
      </c>
      <c r="I27" s="28"/>
      <c r="J27" s="28"/>
      <c r="K27" s="28"/>
      <c r="L27" s="28"/>
      <c r="M27" s="28"/>
      <c r="N27" s="29"/>
    </row>
    <row r="28" spans="4:14" ht="15" thickBot="1" x14ac:dyDescent="0.35">
      <c r="D28" s="3">
        <v>43862</v>
      </c>
      <c r="E28" s="9">
        <v>862762.76560000004</v>
      </c>
      <c r="H28" s="26" t="s">
        <v>21</v>
      </c>
      <c r="I28" s="30"/>
      <c r="J28" s="30"/>
      <c r="K28" s="30"/>
      <c r="L28" s="30"/>
      <c r="M28" s="30"/>
      <c r="N28" s="31"/>
    </row>
    <row r="29" spans="4:14" x14ac:dyDescent="0.3">
      <c r="D29" s="3">
        <v>43922</v>
      </c>
      <c r="E29" s="9">
        <v>130520.9209</v>
      </c>
    </row>
    <row r="30" spans="4:14" x14ac:dyDescent="0.3">
      <c r="D30" s="3">
        <v>43952</v>
      </c>
      <c r="E30" s="9">
        <v>145049.05249999999</v>
      </c>
    </row>
    <row r="31" spans="4:14" x14ac:dyDescent="0.3">
      <c r="D31" s="3">
        <v>43983</v>
      </c>
      <c r="E31" s="9">
        <v>362545.13640000002</v>
      </c>
    </row>
    <row r="32" spans="4:14" x14ac:dyDescent="0.3">
      <c r="D32" s="3">
        <v>44044</v>
      </c>
      <c r="E32" s="9">
        <v>799327.63450000004</v>
      </c>
    </row>
    <row r="33" spans="4:5" x14ac:dyDescent="0.3">
      <c r="D33" s="3">
        <v>44075</v>
      </c>
      <c r="E33" s="9">
        <v>2296919.6327</v>
      </c>
    </row>
    <row r="34" spans="4:5" x14ac:dyDescent="0.3">
      <c r="D34" s="3">
        <v>44105</v>
      </c>
      <c r="E34" s="9">
        <v>3109316.8802</v>
      </c>
    </row>
    <row r="35" spans="4:5" x14ac:dyDescent="0.3">
      <c r="D35" s="3">
        <v>44166</v>
      </c>
      <c r="E35" s="9">
        <v>4078789.9182000002</v>
      </c>
    </row>
    <row r="36" spans="4:5" x14ac:dyDescent="0.3">
      <c r="D36" s="3">
        <v>44197</v>
      </c>
      <c r="E36" s="9">
        <v>2303086.3698999998</v>
      </c>
    </row>
    <row r="37" spans="4:5" x14ac:dyDescent="0.3">
      <c r="D37" s="3">
        <v>44228</v>
      </c>
      <c r="E37" s="9">
        <v>2355170.4534999998</v>
      </c>
    </row>
    <row r="38" spans="4:5" x14ac:dyDescent="0.3">
      <c r="D38" s="3">
        <v>44287</v>
      </c>
      <c r="E38" s="9">
        <v>2253574.9125000001</v>
      </c>
    </row>
    <row r="39" spans="4:5" x14ac:dyDescent="0.3">
      <c r="D39" s="3">
        <v>44317</v>
      </c>
      <c r="E39" s="9">
        <v>2181587.7842999999</v>
      </c>
    </row>
    <row r="40" spans="4:5" x14ac:dyDescent="0.3">
      <c r="D40" s="3">
        <v>44348</v>
      </c>
      <c r="E40" s="9">
        <v>2288587.4482999998</v>
      </c>
    </row>
    <row r="41" spans="4:5" x14ac:dyDescent="0.3">
      <c r="D41" s="3">
        <v>44409</v>
      </c>
      <c r="E41" s="9">
        <v>2349478.8218999999</v>
      </c>
    </row>
    <row r="42" spans="4:5" x14ac:dyDescent="0.3">
      <c r="D42" s="3">
        <v>44440</v>
      </c>
      <c r="E42" s="9">
        <v>11192823.075099999</v>
      </c>
    </row>
    <row r="43" spans="4:5" x14ac:dyDescent="0.3">
      <c r="D43" s="3">
        <v>44470</v>
      </c>
      <c r="E43" s="9">
        <v>13908229.286900001</v>
      </c>
    </row>
    <row r="44" spans="4:5" ht="15" thickBot="1" x14ac:dyDescent="0.35">
      <c r="D44" s="4">
        <v>44531</v>
      </c>
      <c r="E44" s="10">
        <v>19537146.559900001</v>
      </c>
    </row>
  </sheetData>
  <mergeCells count="3">
    <mergeCell ref="D2:E3"/>
    <mergeCell ref="H7:I7"/>
    <mergeCell ref="H23:L2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croma_monthly_gross_sales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Singh</dc:creator>
  <cp:lastModifiedBy>Divyansh Singh</cp:lastModifiedBy>
  <dcterms:created xsi:type="dcterms:W3CDTF">2026-01-04T06:24:23Z</dcterms:created>
  <dcterms:modified xsi:type="dcterms:W3CDTF">2026-01-04T19:54:05Z</dcterms:modified>
</cp:coreProperties>
</file>